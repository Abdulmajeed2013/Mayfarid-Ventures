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jee\OneDrive\Documents\Vision_Code_Projects\Website Project\Finance Tracker\"/>
    </mc:Choice>
  </mc:AlternateContent>
  <xr:revisionPtr revIDLastSave="0" documentId="8_{227FFCB9-68C8-4A81-918A-DE0F46797A0C}" xr6:coauthVersionLast="47" xr6:coauthVersionMax="47" xr10:uidLastSave="{00000000-0000-0000-0000-000000000000}"/>
  <bookViews>
    <workbookView xWindow="1725" yWindow="2475" windowWidth="21600" windowHeight="12645" xr2:uid="{BA8746BB-8E07-456D-95C6-0858DC3F2A44}"/>
  </bookViews>
  <sheets>
    <sheet name="Dashboard" sheetId="4" r:id="rId1"/>
    <sheet name="Transactions" sheetId="3" r:id="rId2"/>
    <sheet name="Accounts" sheetId="2" r:id="rId3"/>
    <sheet name="Categories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4" i="4"/>
  <c r="B3" i="4"/>
</calcChain>
</file>

<file path=xl/sharedStrings.xml><?xml version="1.0" encoding="utf-8"?>
<sst xmlns="http://schemas.openxmlformats.org/spreadsheetml/2006/main" count="76" uniqueCount="52">
  <si>
    <t>Account</t>
  </si>
  <si>
    <t>Type</t>
  </si>
  <si>
    <t>Owner</t>
  </si>
  <si>
    <t>Include in Net Worth</t>
  </si>
  <si>
    <t>Statement Format</t>
  </si>
  <si>
    <t>Current Account</t>
  </si>
  <si>
    <t>Current</t>
  </si>
  <si>
    <t>Me</t>
  </si>
  <si>
    <t>Yes</t>
  </si>
  <si>
    <t>PDF</t>
  </si>
  <si>
    <t>Easy Access Savings</t>
  </si>
  <si>
    <t>Savings</t>
  </si>
  <si>
    <t>Help to Buy ISA</t>
  </si>
  <si>
    <t>ISA</t>
  </si>
  <si>
    <t>Fundsmith Investment</t>
  </si>
  <si>
    <t>Investment</t>
  </si>
  <si>
    <t>Mum's Savings</t>
  </si>
  <si>
    <t>Held for someone else</t>
  </si>
  <si>
    <t>Mum</t>
  </si>
  <si>
    <t>No</t>
  </si>
  <si>
    <t>Category</t>
  </si>
  <si>
    <t>Group</t>
  </si>
  <si>
    <t>Salary</t>
  </si>
  <si>
    <t>Income</t>
  </si>
  <si>
    <t>Other Income</t>
  </si>
  <si>
    <t>Housing</t>
  </si>
  <si>
    <t>Expense</t>
  </si>
  <si>
    <t>Bills</t>
  </si>
  <si>
    <t>Groceries</t>
  </si>
  <si>
    <t>Transport</t>
  </si>
  <si>
    <t>Eating Out</t>
  </si>
  <si>
    <t>Shopping</t>
  </si>
  <si>
    <t>Entertainment</t>
  </si>
  <si>
    <t>Health</t>
  </si>
  <si>
    <t>Transfer</t>
  </si>
  <si>
    <t>Uncategorized</t>
  </si>
  <si>
    <t>Review</t>
  </si>
  <si>
    <t>Transaction ID</t>
  </si>
  <si>
    <t>Date</t>
  </si>
  <si>
    <t>Description</t>
  </si>
  <si>
    <t>Money In</t>
  </si>
  <si>
    <t>Money Out</t>
  </si>
  <si>
    <t>Category Group</t>
  </si>
  <si>
    <t>Transfer Account</t>
  </si>
  <si>
    <t>Statement File</t>
  </si>
  <si>
    <t>Imported At</t>
  </si>
  <si>
    <t>Personal Finance Tracker</t>
  </si>
  <si>
    <t>Total income</t>
  </si>
  <si>
    <t>Total spending</t>
  </si>
  <si>
    <t>Net cash flow</t>
  </si>
  <si>
    <t>Tip</t>
  </si>
  <si>
    <t>Mark movements between your accounts as Transfer.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</si>
</sst>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Â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6">
    <dxf>
      <font>
        <b/>
      </font>
    </dxf>
    <dxf>
      <font>
        <b/>
      </font>
    </dxf>
    <dxf>
      <font>
        <b/>
      </font>
    </dxf>
    <dxf>
      <numFmt numFmtId="164" formatCode="\Â&quot;£&quot;#,##0.00"/>
    </dxf>
    <dxf>
      <numFmt numFmtId="164" formatCode="\Â&quot;£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600FBA-3A03-489C-91FA-344EE305E18C}" name="tblTransactions" displayName="tblTransactions" ref="A1:L2" totalsRowShown="0" headerRowDxfId="2">
  <autoFilter ref="A1:L2" xr:uid="{F2600FBA-3A03-489C-91FA-344EE305E18C}"/>
  <tableColumns count="12">
    <tableColumn id="1" xr3:uid="{4FC63BBF-F6D6-4C2D-9B6D-51722D1BBB14}" name="Transaction ID"/>
    <tableColumn id="2" xr3:uid="{4201E560-3170-4A88-A59E-49D01D62E3D5}" name="Date" dataDxfId="5"/>
    <tableColumn id="3" xr3:uid="{C523AFBB-4188-432B-85A1-02CFFB724965}" name="Account"/>
    <tableColumn id="4" xr3:uid="{A8E203B8-C216-4CE1-AE99-FD4EDCCF9228}" name="Description"/>
    <tableColumn id="5" xr3:uid="{B8AF6379-0D54-4C84-BB92-809A81BFF5DB}" name="Money In" dataDxfId="4"/>
    <tableColumn id="6" xr3:uid="{4138BD7F-31BE-4D2C-B8A4-48E862F311FF}" name="Money Out" dataDxfId="3"/>
    <tableColumn id="7" xr3:uid="{6A65094F-91AD-40F4-AA50-430D44CCF0A9}" name="Category"/>
    <tableColumn id="8" xr3:uid="{1DAD3DDD-DB0B-474E-90D4-4AA22B4DDAE1}" name="Category Group"/>
    <tableColumn id="9" xr3:uid="{0D696E38-5632-4824-97BE-3C0848F2652E}" name="Transfer Account"/>
    <tableColumn id="10" xr3:uid="{4AFC6DAB-66BB-438C-BC98-389341BEEBE7}" name="Statement File"/>
    <tableColumn id="11" xr3:uid="{7E4CC350-0776-4074-82F5-3F0A1F76220C}" name="Imported At"/>
    <tableColumn id="12" xr3:uid="{3C9C467B-16EB-4736-8180-378B642CDE98}" name="Re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2D2FF-4732-453E-8226-D4134178B3AC}" name="tblAccounts" displayName="tblAccounts" ref="A1:E6" totalsRowShown="0" headerRowDxfId="1">
  <autoFilter ref="A1:E6" xr:uid="{4542D2FF-4732-453E-8226-D4134178B3AC}"/>
  <tableColumns count="5">
    <tableColumn id="1" xr3:uid="{ABBE8C35-90ED-4A58-8DDC-F6128C769ACF}" name="Account"/>
    <tableColumn id="2" xr3:uid="{691C1A2C-BC0F-4293-8A1D-B10325D31CDE}" name="Type"/>
    <tableColumn id="3" xr3:uid="{B9D3125E-E8C3-4A61-AEA1-080712235C30}" name="Owner"/>
    <tableColumn id="4" xr3:uid="{4E416963-C71C-4892-912D-88B38ADFD6B9}" name="Include in Net Worth"/>
    <tableColumn id="5" xr3:uid="{13E3ED56-86BE-4767-ABB4-772069F32517}" name="Statement Form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96DAE-8085-4D71-B1BA-D50EE1366F79}" name="tblCategories" displayName="tblCategories" ref="A1:B14" totalsRowShown="0" headerRowDxfId="0">
  <autoFilter ref="A1:B14" xr:uid="{37396DAE-8085-4D71-B1BA-D50EE1366F79}"/>
  <tableColumns count="2">
    <tableColumn id="1" xr3:uid="{0F50AE17-0C4B-4F1F-8CA3-922B161902BF}" name="Category"/>
    <tableColumn id="2" xr3:uid="{88B6AD71-655D-4BA6-A690-6DF28EAF9D53}" name="Group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E925-52E8-45BC-9F45-E8BCBFE9DE28}">
  <dimension ref="A1:B7"/>
  <sheetViews>
    <sheetView tabSelected="1" workbookViewId="0">
      <pane ySplit="870" topLeftCell="A2"/>
      <selection pane="bottomLeft" activeCell="A2" sqref="A2"/>
    </sheetView>
  </sheetViews>
  <sheetFormatPr defaultRowHeight="15" x14ac:dyDescent="0.25"/>
  <cols>
    <col min="1" max="1" width="45.7109375" bestFit="1" customWidth="1"/>
    <col min="2" max="2" width="49.28515625" bestFit="1" customWidth="1"/>
  </cols>
  <sheetData>
    <row r="1" spans="1:2" ht="28.5" x14ac:dyDescent="0.45">
      <c r="A1" s="3" t="s">
        <v>46</v>
      </c>
    </row>
    <row r="3" spans="1:2" x14ac:dyDescent="0.25">
      <c r="A3" s="4" t="s">
        <v>47</v>
      </c>
      <c r="B3" s="5">
        <f>SUM(tblTransactions[Money In])</f>
        <v>0</v>
      </c>
    </row>
    <row r="4" spans="1:2" x14ac:dyDescent="0.25">
      <c r="A4" s="4" t="s">
        <v>48</v>
      </c>
      <c r="B4" s="5">
        <f>SUM(tblTransactions[Money Out])</f>
        <v>0</v>
      </c>
    </row>
    <row r="5" spans="1:2" x14ac:dyDescent="0.25">
      <c r="A5" s="4" t="s">
        <v>49</v>
      </c>
      <c r="B5" s="5">
        <f>B3-B4</f>
        <v>0</v>
      </c>
    </row>
    <row r="7" spans="1:2" x14ac:dyDescent="0.25">
      <c r="A7" t="s">
        <v>50</v>
      </c>
      <c r="B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F4B2-A84B-4DF0-9627-F682E2E5A97E}">
  <dimension ref="A1:L1"/>
  <sheetViews>
    <sheetView workbookViewId="0"/>
  </sheetViews>
  <sheetFormatPr defaultRowHeight="15" x14ac:dyDescent="0.25"/>
  <cols>
    <col min="1" max="1" width="15.85546875" bestFit="1" customWidth="1"/>
    <col min="2" max="2" width="7.42578125" style="1" bestFit="1" customWidth="1"/>
    <col min="3" max="3" width="10.42578125" bestFit="1" customWidth="1"/>
    <col min="4" max="4" width="13.42578125" bestFit="1" customWidth="1"/>
    <col min="5" max="5" width="11.7109375" style="2" bestFit="1" customWidth="1"/>
    <col min="6" max="6" width="13.28515625" style="2" bestFit="1" customWidth="1"/>
    <col min="7" max="7" width="11.140625" bestFit="1" customWidth="1"/>
    <col min="8" max="8" width="17.28515625" bestFit="1" customWidth="1"/>
    <col min="9" max="9" width="18.28515625" bestFit="1" customWidth="1"/>
    <col min="10" max="10" width="16.42578125" bestFit="1" customWidth="1"/>
    <col min="11" max="11" width="14" bestFit="1" customWidth="1"/>
    <col min="12" max="12" width="9.85546875" bestFit="1" customWidth="1"/>
  </cols>
  <sheetData>
    <row r="1" spans="1:12" s="6" customFormat="1" x14ac:dyDescent="0.25">
      <c r="A1" s="6" t="s">
        <v>37</v>
      </c>
      <c r="B1" s="7" t="s">
        <v>38</v>
      </c>
      <c r="C1" s="6" t="s">
        <v>0</v>
      </c>
      <c r="D1" s="6" t="s">
        <v>39</v>
      </c>
      <c r="E1" s="8" t="s">
        <v>40</v>
      </c>
      <c r="F1" s="8" t="s">
        <v>41</v>
      </c>
      <c r="G1" s="6" t="s">
        <v>20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7DC8-A4B9-412E-84CD-075CD5C09EB7}">
  <dimension ref="A1:E6"/>
  <sheetViews>
    <sheetView workbookViewId="0"/>
  </sheetViews>
  <sheetFormatPr defaultRowHeight="15" x14ac:dyDescent="0.25"/>
  <cols>
    <col min="1" max="2" width="21.42578125" bestFit="1" customWidth="1"/>
    <col min="3" max="3" width="9.28515625" bestFit="1" customWidth="1"/>
    <col min="4" max="4" width="22.140625" bestFit="1" customWidth="1"/>
    <col min="5" max="5" width="19.5703125" bestFit="1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920C-1217-43E9-84AC-D2BE970989FD}">
  <dimension ref="A1:B14"/>
  <sheetViews>
    <sheetView workbookViewId="0"/>
  </sheetViews>
  <sheetFormatPr defaultRowHeight="15" x14ac:dyDescent="0.25"/>
  <cols>
    <col min="1" max="1" width="14" bestFit="1" customWidth="1"/>
    <col min="2" max="2" width="8.85546875" bestFit="1" customWidth="1"/>
  </cols>
  <sheetData>
    <row r="1" spans="1:2" s="6" customFormat="1" x14ac:dyDescent="0.25">
      <c r="A1" s="6" t="s">
        <v>20</v>
      </c>
      <c r="B1" s="6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23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26</v>
      </c>
    </row>
    <row r="6" spans="1:2" x14ac:dyDescent="0.25">
      <c r="A6" t="s">
        <v>28</v>
      </c>
      <c r="B6" t="s">
        <v>26</v>
      </c>
    </row>
    <row r="7" spans="1:2" x14ac:dyDescent="0.25">
      <c r="A7" t="s">
        <v>29</v>
      </c>
      <c r="B7" t="s">
        <v>26</v>
      </c>
    </row>
    <row r="8" spans="1:2" x14ac:dyDescent="0.25">
      <c r="A8" t="s">
        <v>30</v>
      </c>
      <c r="B8" t="s">
        <v>26</v>
      </c>
    </row>
    <row r="9" spans="1:2" x14ac:dyDescent="0.25">
      <c r="A9" t="s">
        <v>31</v>
      </c>
      <c r="B9" t="s">
        <v>26</v>
      </c>
    </row>
    <row r="10" spans="1:2" x14ac:dyDescent="0.25">
      <c r="A10" t="s">
        <v>32</v>
      </c>
      <c r="B10" t="s">
        <v>26</v>
      </c>
    </row>
    <row r="11" spans="1:2" x14ac:dyDescent="0.25">
      <c r="A11" t="s">
        <v>33</v>
      </c>
      <c r="B11" t="s">
        <v>26</v>
      </c>
    </row>
    <row r="12" spans="1:2" x14ac:dyDescent="0.25">
      <c r="A12" t="s">
        <v>34</v>
      </c>
      <c r="B12" t="s">
        <v>34</v>
      </c>
    </row>
    <row r="13" spans="1:2" x14ac:dyDescent="0.25">
      <c r="A13" t="s">
        <v>15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Transactions</vt:lpstr>
      <vt:lpstr>Accounts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Dorothy Hansah</dc:creator>
  <cp:lastModifiedBy>Martina Dorothy Hansah</cp:lastModifiedBy>
  <dcterms:created xsi:type="dcterms:W3CDTF">2026-08-20T20:45:49Z</dcterms:created>
  <dcterms:modified xsi:type="dcterms:W3CDTF">2026-08-20T20:45:50Z</dcterms:modified>
</cp:coreProperties>
</file>